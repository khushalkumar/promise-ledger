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Audit cost basis — supplied inp" sheetId="1" r:id="rId1"/>
    <sheet name="Promise Ledger monthly scenario" sheetId="2" r:id="rId2"/>
    <sheet name="Model inputs" sheetId="3" r:id="rId3"/>
  </sheets>
  <calcPr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#,##0.###;(#,##0.###)"/>
    <numFmt numFmtId="165" formatCode="&quot;$&quot;#,##0.00;(&quot;$&quot;#,##0.00)"/>
    <numFmt numFmtId="166" formatCode="#,##0.000;(#,##0.000)"/>
    <numFmt numFmtId="167" formatCode="&quot;$&quot;#,##0;(&quot;$&quot;#,##0)"/>
    <numFmt numFmtId="168" formatCode="#,##0;(#,##0)"/>
    <numFmt numFmtId="169" formatCode="0.00%"/>
  </numFmts>
  <fonts count="4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</fonts>
  <fills count="6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3" borderId="1" xfId="0" applyFill="1" applyFont="1" applyBorder="1" applyAlignment="1">
      <alignment vertical="center" horizontal="right"/>
    </xf>
    <xf numFmtId="0" fontId="3" fillId="4" borderId="1" xfId="0" applyFill="1" applyFont="1" applyBorder="1" applyAlignment="1">
      <alignment vertical="center" horizontal="left"/>
    </xf>
    <xf numFmtId="164" fontId="3" fillId="4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/>
    </xf>
    <xf numFmtId="164" fontId="0" fillId="0" borderId="0" xfId="0" applyNumberFormat="1" applyAlignment="1">
      <alignment vertical="center" horizontal="right"/>
    </xf>
    <xf numFmtId="165" fontId="0" fillId="0" borderId="0" xfId="0" applyNumberFormat="1" applyAlignment="1">
      <alignment vertical="center" horizontal="right"/>
    </xf>
    <xf numFmtId="166" fontId="0" fillId="0" borderId="0" xfId="0" applyNumberFormat="1" applyAlignment="1">
      <alignment vertical="center" horizontal="right"/>
    </xf>
    <xf numFmtId="167" fontId="3" fillId="4" borderId="1" xfId="0" applyNumberFormat="1" applyFill="1" applyFont="1" applyBorder="1" applyAlignment="1">
      <alignment vertical="center" horizontal="right"/>
    </xf>
    <xf numFmtId="168" fontId="3" fillId="4" borderId="1" xfId="0" applyNumberFormat="1" applyFill="1" applyFont="1" applyBorder="1" applyAlignment="1">
      <alignment vertical="center" horizontal="right"/>
    </xf>
    <xf numFmtId="167" fontId="0" fillId="0" borderId="0" xfId="0" applyNumberFormat="1" applyAlignment="1">
      <alignment vertical="center" horizontal="right"/>
    </xf>
    <xf numFmtId="168" fontId="0" fillId="0" borderId="0" xfId="0" applyNumberFormat="1" applyAlignment="1">
      <alignment vertical="center" horizontal="right"/>
    </xf>
    <xf numFmtId="0" fontId="3" fillId="0" borderId="0" xfId="0" applyFont="1" applyAlignment="1">
      <alignment vertical="center" horizontal="left"/>
    </xf>
    <xf numFmtId="165" fontId="3" fillId="0" borderId="0" xfId="0" applyNumberFormat="1" applyFont="1" applyAlignment="1">
      <alignment vertical="center" horizontal="right"/>
    </xf>
    <xf numFmtId="169" fontId="0" fillId="0" borderId="0" xfId="0" applyNumberFormat="1" applyAlignment="1">
      <alignment vertical="center" horizontal="right"/>
    </xf>
    <xf numFmtId="0" fontId="3" fillId="4" borderId="1" xfId="0" applyFill="1" applyFont="1" applyBorder="1"/>
    <xf numFmtId="0" fontId="3" fillId="5" borderId="0" xfId="0" applyFill="1" applyFont="1" applyAlignment="1">
      <alignment vertical="center" horizontal="lef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B10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Audit cost basis — supplied inputs</t>
        </is>
      </c>
    </row>
    <row r="2" ht="20" customHeight="1">
      <c r="A2" t="inlineStr" s="2">
        <is>
          <t xml:space="preserve">Promise Ledger — Scenario Model · Base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Audit input tokens</t>
        </is>
      </c>
      <c r="B5" s="6">
        <f>2886</f>
        <v>2886</v>
      </c>
    </row>
    <row r="6">
      <c r="A6" t="inlineStr" s="7">
        <is>
          <t xml:space="preserve">Audit output tokens</t>
        </is>
      </c>
      <c r="B6" s="8">
        <f>929</f>
        <v>929</v>
      </c>
    </row>
    <row r="7">
      <c r="A7" t="inlineStr" s="7">
        <is>
          <t xml:space="preserve">Input price per million tokens</t>
        </is>
      </c>
      <c r="B7" s="9">
        <f>2.5</f>
        <v>2.5</v>
      </c>
    </row>
    <row r="8">
      <c r="A8" t="inlineStr" s="7">
        <is>
          <t xml:space="preserve">Output price per million tokens</t>
        </is>
      </c>
      <c r="B8" s="9">
        <f>10</f>
        <v>10</v>
      </c>
    </row>
    <row r="9">
      <c r="A9" t="inlineStr" s="7">
        <is>
          <t xml:space="preserve">Observability allowance per audit</t>
        </is>
      </c>
      <c r="B9" s="10">
        <f>0.005</f>
        <v>0.005</v>
      </c>
    </row>
    <row r="10">
      <c r="A10" t="inlineStr" s="5">
        <is>
          <t xml:space="preserve">Opening cash</t>
        </is>
      </c>
      <c r="B10" s="11">
        <f>50000</f>
        <v>50000</v>
      </c>
    </row>
  </sheetData>
  <mergeCells count="1">
    <mergeCell ref="A1:B1"/>
  </mergeCells>
</worksheet>
</file>

<file path=xl/worksheets/sheet2.xml><?xml version="1.0" encoding="utf-8"?>
<worksheet xmlns="http://schemas.openxmlformats.org/spreadsheetml/2006/main">
  <dimension ref="A1:D18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</cols>
  <sheetData>
    <row r="1" ht="32" customHeight="1">
      <c r="A1" t="inlineStr" s="1">
        <is>
          <t xml:space="preserve">Promise Ledger monthly scenarios</t>
        </is>
      </c>
    </row>
    <row r="2" ht="20" customHeight="1">
      <c r="A2" t="inlineStr" s="2">
        <is>
          <t xml:space="preserve">Promise Ledger — Scenario Model · Base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  <c r="C4" t="inlineStr" s="4">
        <is>
          <t xml:space="preserve">Value &gt; Growth</t>
        </is>
      </c>
      <c r="D4" t="inlineStr" s="4">
        <is>
          <t xml:space="preserve">Value &gt; Downside</t>
        </is>
      </c>
    </row>
    <row r="5">
      <c r="A5" t="inlineStr" s="5">
        <is>
          <t xml:space="preserve">Monitored contracts</t>
        </is>
      </c>
      <c r="B5" s="12">
        <f>200</f>
        <v>200</v>
      </c>
      <c r="C5" s="12">
        <f>1000</f>
        <v>1000</v>
      </c>
      <c r="D5" s="12">
        <f>25</f>
        <v>25</v>
      </c>
    </row>
    <row r="6">
      <c r="A6" t="inlineStr" s="7">
        <is>
          <t xml:space="preserve">Monthly price per contract</t>
        </is>
      </c>
      <c r="B6" s="13">
        <f>39</f>
        <v>39</v>
      </c>
      <c r="C6" s="13">
        <f>29</f>
        <v>29</v>
      </c>
      <c r="D6" s="13">
        <f>49</f>
        <v>49</v>
      </c>
    </row>
    <row r="7">
      <c r="A7" t="inlineStr" s="7">
        <is>
          <t xml:space="preserve">Audits per contract per month</t>
        </is>
      </c>
      <c r="B7" s="14">
        <f>8</f>
        <v>8</v>
      </c>
      <c r="C7" s="14">
        <f>10</f>
        <v>10</v>
      </c>
      <c r="D7" s="14">
        <f>6</f>
        <v>6</v>
      </c>
    </row>
    <row r="8">
      <c r="A8" t="inlineStr" s="7">
        <is>
          <t xml:space="preserve">Monthly audits</t>
        </is>
      </c>
      <c r="B8" s="14">
        <f>'Promise Ledger monthly scenario'!B5*'Promise Ledger monthly scenario'!B7</f>
        <v>1600</v>
      </c>
      <c r="C8" s="14">
        <f>'Promise Ledger monthly scenario'!C5*'Promise Ledger monthly scenario'!C7</f>
        <v>10000</v>
      </c>
      <c r="D8" s="14">
        <f>'Promise Ledger monthly scenario'!D5*'Promise Ledger monthly scenario'!D7</f>
        <v>150</v>
      </c>
    </row>
    <row r="9">
      <c r="A9" t="inlineStr" s="7">
        <is>
          <t xml:space="preserve">Monthly revenue</t>
        </is>
      </c>
      <c r="B9" s="9">
        <f>'Promise Ledger monthly scenario'!B5*'Promise Ledger monthly scenario'!B6</f>
        <v>7800</v>
      </c>
      <c r="C9" s="9">
        <f>'Promise Ledger monthly scenario'!C5*'Promise Ledger monthly scenario'!C6</f>
        <v>29000</v>
      </c>
      <c r="D9" s="9">
        <f>'Promise Ledger monthly scenario'!D5*'Promise Ledger monthly scenario'!D6</f>
        <v>1225</v>
      </c>
    </row>
    <row r="10">
      <c r="A10" t="inlineStr" s="7">
        <is>
          <t xml:space="preserve">Model API</t>
        </is>
      </c>
      <c r="B10" s="9">
        <f>ROUND('Promise Ledger monthly scenario'!B8*'Model inputs'!B6,2)</f>
        <v>26.41</v>
      </c>
      <c r="C10" s="9">
        <f>ROUND('Promise Ledger monthly scenario'!C8*'Model inputs'!B7,2)</f>
        <v>165.05</v>
      </c>
      <c r="D10" s="9">
        <f>ROUND('Promise Ledger monthly scenario'!D8*'Model inputs'!B8,2)</f>
        <v>2.48</v>
      </c>
    </row>
    <row r="11">
      <c r="A11" t="inlineStr" s="7">
        <is>
          <t xml:space="preserve">Observability</t>
        </is>
      </c>
      <c r="B11" s="9">
        <f>'Promise Ledger monthly scenario'!B8*'Audit cost basis — supplied inp'!B9</f>
        <v>8</v>
      </c>
      <c r="C11" s="9">
        <f>'Promise Ledger monthly scenario'!C8*'Model inputs'!B9</f>
        <v>50</v>
      </c>
      <c r="D11" s="9">
        <f>'Promise Ledger monthly scenario'!D8*'Model inputs'!B10</f>
        <v>0.75</v>
      </c>
    </row>
    <row r="12">
      <c r="A12" t="inlineStr" s="7">
        <is>
          <t xml:space="preserve">Infrastructure</t>
        </is>
      </c>
      <c r="B12" s="13">
        <f>650</f>
        <v>650</v>
      </c>
      <c r="C12" s="13">
        <f>1800</f>
        <v>1800</v>
      </c>
      <c r="D12" s="13">
        <f>250</f>
        <v>250</v>
      </c>
    </row>
    <row r="13">
      <c r="A13" t="inlineStr" s="7">
        <is>
          <t xml:space="preserve">Support/ops COGS</t>
        </is>
      </c>
      <c r="B13" s="13">
        <f>1200</f>
        <v>1200</v>
      </c>
      <c r="C13" s="13">
        <f>4500</f>
        <v>4500</v>
      </c>
      <c r="D13" s="13">
        <f>250</f>
        <v>250</v>
      </c>
    </row>
    <row r="14">
      <c r="A14" t="inlineStr" s="15">
        <is>
          <t xml:space="preserve">Total COGS</t>
        </is>
      </c>
      <c r="B14" s="16">
        <f>'Promise Ledger monthly scenario'!B10+'Promise Ledger monthly scenario'!B11+'Promise Ledger monthly scenario'!B12+'Promise Ledger monthly scenario'!B13</f>
        <v>1884.41</v>
      </c>
      <c r="C14" s="16">
        <f>'Promise Ledger monthly scenario'!C10+'Promise Ledger monthly scenario'!C11+'Promise Ledger monthly scenario'!C12+'Promise Ledger monthly scenario'!C13</f>
        <v>6515.05</v>
      </c>
      <c r="D14" s="16">
        <f>'Promise Ledger monthly scenario'!D10+'Promise Ledger monthly scenario'!D11+'Promise Ledger monthly scenario'!D12+'Promise Ledger monthly scenario'!D13</f>
        <v>503.23</v>
      </c>
    </row>
    <row r="15">
      <c r="A15" t="inlineStr" s="7">
        <is>
          <t xml:space="preserve">Gross margin</t>
        </is>
      </c>
      <c r="B15" s="17">
        <f>('Promise Ledger monthly scenario'!B9-'Promise Ledger monthly scenario'!B14)/'Promise Ledger monthly scenario'!B9</f>
        <v>0.7584089743589744</v>
      </c>
      <c r="C15" s="17">
        <f>('Promise Ledger monthly scenario'!C9-'Promise Ledger monthly scenario'!C14)/'Promise Ledger monthly scenario'!C9</f>
        <v>0.7753431034482758</v>
      </c>
      <c r="D15" s="17">
        <f>('Promise Ledger monthly scenario'!D9-'Promise Ledger monthly scenario'!D14)/'Promise Ledger monthly scenario'!D9</f>
        <v>0.5892</v>
      </c>
    </row>
    <row r="16">
      <c r="A16" t="inlineStr" s="7">
        <is>
          <t xml:space="preserve">Operating expenses</t>
        </is>
      </c>
      <c r="B16" s="13">
        <f>12000</f>
        <v>12000</v>
      </c>
      <c r="C16" s="13">
        <f>22000</f>
        <v>22000</v>
      </c>
      <c r="D16" s="13">
        <f>5000</f>
        <v>5000</v>
      </c>
    </row>
    <row r="17">
      <c r="A17" t="inlineStr" s="15">
        <is>
          <t xml:space="preserve">Net cash flow</t>
        </is>
      </c>
      <c r="B17" s="16">
        <f>'Promise Ledger monthly scenario'!B9-'Promise Ledger monthly scenario'!B14-'Promise Ledger monthly scenario'!B16</f>
        <v>-6084.41</v>
      </c>
      <c r="C17" s="16">
        <f>'Promise Ledger monthly scenario'!C9-'Promise Ledger monthly scenario'!C14-'Promise Ledger monthly scenario'!C16</f>
        <v>484.9500000000007</v>
      </c>
      <c r="D17" s="16">
        <f>'Promise Ledger monthly scenario'!D9-'Promise Ledger monthly scenario'!D14-'Promise Ledger monthly scenario'!D16</f>
        <v>-4278.23</v>
      </c>
    </row>
    <row r="18">
      <c r="A18" t="inlineStr" s="5">
        <is>
          <t xml:space="preserve">Runway (months)</t>
        </is>
      </c>
      <c r="B18" s="6">
        <f>IF(IF(IF(ISERROR('Promise Ledger monthly scenario'!B17&lt;0),'Promise Ledger monthly scenario'!B17&lt;0,IF('Promise Ledger monthly scenario'!B17="","",'Promise Ledger monthly scenario'!B17&lt;0))="",FALSE,IF(ISERROR('Promise Ledger monthly scenario'!B17&lt;0),'Promise Ledger monthly scenario'!B17&lt;0,IF('Promise Ledger monthly scenario'!B17="","",'Promise Ledger monthly scenario'!B17&lt;0))),ROUND('Audit cost basis — supplied inp'!B10/(-'Promise Ledger monthly scenario'!B17),2),"cash-flow positive")</f>
        <v>8.22</v>
      </c>
      <c r="C18" t="str" s="6">
        <f>IF(IF(IF(ISERROR('Promise Ledger monthly scenario'!C17&lt;0),'Promise Ledger monthly scenario'!C17&lt;0,IF('Promise Ledger monthly scenario'!C17="","",'Promise Ledger monthly scenario'!C17&lt;0))="",FALSE,IF(ISERROR('Promise Ledger monthly scenario'!C17&lt;0),'Promise Ledger monthly scenario'!C17&lt;0,IF('Promise Ledger monthly scenario'!C17="","",'Promise Ledger monthly scenario'!C17&lt;0))),ROUND('Model inputs'!B11/(-'Promise Ledger monthly scenario'!C17),2),"cash-flow positive")</f>
        <v>cash-flow positive</v>
      </c>
      <c r="D18" s="6">
        <f>IF(IF(IF(ISERROR('Promise Ledger monthly scenario'!D17&lt;0),'Promise Ledger monthly scenario'!D17&lt;0,IF('Promise Ledger monthly scenario'!D17="","",'Promise Ledger monthly scenario'!D17&lt;0))="",FALSE,IF(ISERROR('Promise Ledger monthly scenario'!D17&lt;0),'Promise Ledger monthly scenario'!D17&lt;0,IF('Promise Ledger monthly scenario'!D17="","",'Promise Ledger monthly scenario'!D17&lt;0))),ROUND('Model inputs'!B12/(-'Promise Ledger monthly scenario'!D17),2),"cash-flow positive")</f>
        <v>11.69</v>
      </c>
    </row>
  </sheetData>
  <mergeCells count="1">
    <mergeCell ref="A1:D1"/>
  </mergeCells>
</worksheet>
</file>

<file path=xl/worksheets/sheet3.xml><?xml version="1.0" encoding="utf-8"?>
<worksheet xmlns="http://schemas.openxmlformats.org/spreadsheetml/2006/main">
  <dimension ref="A1:B20"/>
  <sheetViews>
    <sheetView showGridLines="0" workbookViewId="0">
      <pane xSplit="1" ySplit="5" topLeftCell="B6" activePane="bottomRight" state="frozen"/>
      <selection pane="bottomRight" activeCell="B6" sqref="B6"/>
    </sheetView>
  </sheetViews>
  <sheetFormatPr defaultRowHeight="18"/>
  <cols>
    <col min="1" max="1" width="42" customWidth="1"/>
    <col min="2" max="2" width="19" customWidth="1"/>
  </cols>
  <sheetData>
    <row r="1" ht="32" customHeight="1">
      <c r="A1" t="inlineStr" s="1">
        <is>
          <t xml:space="preserve">Model inputs</t>
        </is>
      </c>
    </row>
    <row r="2" ht="20" customHeight="1">
      <c r="A2" t="inlineStr" s="2">
        <is>
          <t xml:space="preserve">Integration values are aggregated snapshots; raw source records are not included.</t>
        </is>
      </c>
    </row>
    <row r="4">
      <c r="A4" t="inlineStr" s="18">
        <is>
          <t xml:space="preserve">Variables</t>
        </is>
      </c>
    </row>
    <row r="5" ht="22" customHeight="1">
      <c r="A5" t="inlineStr" s="3">
        <is>
          <t xml:space="preserve">Variable / segment</t>
        </is>
      </c>
      <c r="B5" t="inlineStr" s="4">
        <is>
          <t xml:space="preserve">Value</t>
        </is>
      </c>
    </row>
    <row r="6">
      <c r="A6" t="inlineStr" s="19">
        <is>
          <t xml:space="preserve">Model cost per audit · Base</t>
        </is>
      </c>
      <c r="B6" s="8">
        <f>('Audit cost basis — supplied inp'!B5*'Audit cost basis — supplied inp'!B7+'Audit cost basis — supplied inp'!B6*'Audit cost basis — supplied inp'!B8)/1000000</f>
        <v>0.016505</v>
      </c>
    </row>
    <row r="7">
      <c r="A7" t="inlineStr" s="19">
        <is>
          <t xml:space="preserve">Model cost per audit · Growth</t>
        </is>
      </c>
      <c r="B7" s="8">
        <f>('Model inputs'!B13*'Model inputs'!B17+'Model inputs'!B15*'Model inputs'!B19)/1000000</f>
        <v>0.016505</v>
      </c>
    </row>
    <row r="8">
      <c r="A8" t="inlineStr" s="19">
        <is>
          <t xml:space="preserve">Model cost per audit · Downside</t>
        </is>
      </c>
      <c r="B8" s="8">
        <f>('Model inputs'!B14*'Model inputs'!B18+'Model inputs'!B16*'Model inputs'!B20)/1000000</f>
        <v>0.016505</v>
      </c>
    </row>
    <row r="9">
      <c r="A9" t="inlineStr" s="19">
        <is>
          <t xml:space="preserve">Observability allowance per audit · Growth</t>
        </is>
      </c>
      <c r="B9" s="8">
        <f>0.005</f>
        <v>0.005</v>
      </c>
    </row>
    <row r="10">
      <c r="A10" t="inlineStr" s="19">
        <is>
          <t xml:space="preserve">Observability allowance per audit · Downside</t>
        </is>
      </c>
      <c r="B10" s="8">
        <f>0.005</f>
        <v>0.005</v>
      </c>
    </row>
    <row r="11">
      <c r="A11" t="inlineStr" s="19">
        <is>
          <t xml:space="preserve">Opening cash · Growth</t>
        </is>
      </c>
      <c r="B11" s="8">
        <f>50000</f>
        <v>50000</v>
      </c>
    </row>
    <row r="12">
      <c r="A12" t="inlineStr" s="19">
        <is>
          <t xml:space="preserve">Opening cash · Downside</t>
        </is>
      </c>
      <c r="B12" s="8">
        <f>50000</f>
        <v>50000</v>
      </c>
    </row>
    <row r="13">
      <c r="A13" t="inlineStr" s="19">
        <is>
          <t xml:space="preserve">Audit input tokens · Growth</t>
        </is>
      </c>
      <c r="B13" s="8">
        <f>2886</f>
        <v>2886</v>
      </c>
    </row>
    <row r="14">
      <c r="A14" t="inlineStr" s="19">
        <is>
          <t xml:space="preserve">Audit input tokens · Downside</t>
        </is>
      </c>
      <c r="B14" s="8">
        <f>2886</f>
        <v>2886</v>
      </c>
    </row>
    <row r="15">
      <c r="A15" t="inlineStr" s="19">
        <is>
          <t xml:space="preserve">Audit output tokens · Growth</t>
        </is>
      </c>
      <c r="B15" s="8">
        <f>929</f>
        <v>929</v>
      </c>
    </row>
    <row r="16">
      <c r="A16" t="inlineStr" s="19">
        <is>
          <t xml:space="preserve">Audit output tokens · Downside</t>
        </is>
      </c>
      <c r="B16" s="8">
        <f>929</f>
        <v>929</v>
      </c>
    </row>
    <row r="17">
      <c r="A17" t="inlineStr" s="19">
        <is>
          <t xml:space="preserve">Input price per million tokens · Growth</t>
        </is>
      </c>
      <c r="B17" s="8">
        <f>2.5</f>
        <v>2.5</v>
      </c>
    </row>
    <row r="18">
      <c r="A18" t="inlineStr" s="19">
        <is>
          <t xml:space="preserve">Input price per million tokens · Downside</t>
        </is>
      </c>
      <c r="B18" s="8">
        <f>2.5</f>
        <v>2.5</v>
      </c>
    </row>
    <row r="19">
      <c r="A19" t="inlineStr" s="19">
        <is>
          <t xml:space="preserve">Output price per million tokens · Growth</t>
        </is>
      </c>
      <c r="B19" s="8">
        <f>10</f>
        <v>10</v>
      </c>
    </row>
    <row r="20">
      <c r="A20" t="inlineStr" s="19">
        <is>
          <t xml:space="preserve">Output price per million tokens · Downside</t>
        </is>
      </c>
      <c r="B20" s="8">
        <f>10</f>
        <v>10</v>
      </c>
    </row>
  </sheetData>
  <mergeCells count="2">
    <mergeCell ref="A1:B1"/>
    <mergeCell ref="A2:B2"/>
  </mergeCells>
</worksheet>
</file>